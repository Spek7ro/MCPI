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CPI\Análisis_De_Datos\Tareas\"/>
    </mc:Choice>
  </mc:AlternateContent>
  <xr:revisionPtr revIDLastSave="0" documentId="13_ncr:1_{4D57E12F-79BA-43CB-A4B7-6F6C21A4EFE3}" xr6:coauthVersionLast="47" xr6:coauthVersionMax="47" xr10:uidLastSave="{00000000-0000-0000-0000-000000000000}"/>
  <bookViews>
    <workbookView xWindow="-108" yWindow="-108" windowWidth="23256" windowHeight="12456" xr2:uid="{7F0102FC-766F-479E-A177-E40BE61CB6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" i="1" l="1"/>
  <c r="P14" i="1"/>
  <c r="O14" i="1"/>
  <c r="N14" i="1"/>
  <c r="O7" i="1"/>
  <c r="P7" i="1"/>
  <c r="Q7" i="1"/>
  <c r="N7" i="1"/>
  <c r="I14" i="1"/>
  <c r="J14" i="1"/>
  <c r="K14" i="1"/>
  <c r="H14" i="1"/>
  <c r="I7" i="1"/>
  <c r="J7" i="1"/>
  <c r="K7" i="1"/>
  <c r="H7" i="1"/>
  <c r="B14" i="1"/>
  <c r="C14" i="1"/>
  <c r="D14" i="1"/>
  <c r="E14" i="1"/>
  <c r="C7" i="1"/>
  <c r="D7" i="1"/>
  <c r="E7" i="1"/>
  <c r="B7" i="1"/>
</calcChain>
</file>

<file path=xl/sharedStrings.xml><?xml version="1.0" encoding="utf-8"?>
<sst xmlns="http://schemas.openxmlformats.org/spreadsheetml/2006/main" count="57" uniqueCount="13">
  <si>
    <t>Entrenamiento</t>
  </si>
  <si>
    <t>Accuracy</t>
  </si>
  <si>
    <t>AUC</t>
  </si>
  <si>
    <t>Specificity</t>
  </si>
  <si>
    <t>Sensitivity</t>
  </si>
  <si>
    <t>K=1</t>
  </si>
  <si>
    <t>K=2</t>
  </si>
  <si>
    <t>K=3</t>
  </si>
  <si>
    <t>Promedio</t>
  </si>
  <si>
    <t>Validacion</t>
  </si>
  <si>
    <t>Modelo: classification ~ age + i_mean + i_std_dev</t>
  </si>
  <si>
    <t>Modelo: classification ~ age + i_mean + i_std_dev + i_skewness + s_area</t>
  </si>
  <si>
    <t>Modelo: classification ~ age + i_mean + i_std_dev + i_skewness + s_area + s_circularity + t_energ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</si>
</sst>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/>
    <xf numFmtId="0" fontId="1" fillId="4" borderId="0" xfId="0" applyFont="1" applyFill="1"/>
    <xf numFmtId="0" fontId="0" fillId="4" borderId="0" xfId="0" applyFill="1"/>
    <xf numFmtId="0" fontId="1" fillId="5" borderId="0" xfId="0" applyFont="1" applyFill="1" applyAlignment="1">
      <alignment horizontal="center"/>
    </xf>
    <xf numFmtId="0" fontId="1" fillId="6" borderId="0" xfId="0" applyFont="1" applyFill="1"/>
    <xf numFmtId="0" fontId="0" fillId="6" borderId="0" xfId="0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C8D27-820D-4E69-BF44-E4BF84344ACC}">
  <dimension ref="A1:Q22"/>
  <sheetViews>
    <sheetView tabSelected="1" topLeftCell="F1" zoomScale="115" zoomScaleNormal="115" workbookViewId="0">
      <selection activeCell="Q20" sqref="Q20"/>
    </sheetView>
  </sheetViews>
  <sheetFormatPr baseColWidth="10" defaultRowHeight="14.4" x14ac:dyDescent="0.3"/>
  <cols>
    <col min="11" max="11" width="18" customWidth="1"/>
    <col min="15" max="15" width="14" customWidth="1"/>
    <col min="16" max="16" width="17.109375" customWidth="1"/>
    <col min="17" max="17" width="30.6640625" customWidth="1"/>
  </cols>
  <sheetData>
    <row r="1" spans="1:17" x14ac:dyDescent="0.3">
      <c r="A1" s="1" t="s">
        <v>10</v>
      </c>
      <c r="B1" s="1"/>
      <c r="C1" s="1"/>
      <c r="D1" s="1"/>
      <c r="E1" s="1"/>
      <c r="G1" s="1" t="s">
        <v>11</v>
      </c>
      <c r="H1" s="1"/>
      <c r="I1" s="1"/>
      <c r="J1" s="1"/>
      <c r="K1" s="1"/>
      <c r="M1" s="1" t="s">
        <v>12</v>
      </c>
      <c r="N1" s="1"/>
      <c r="O1" s="1"/>
      <c r="P1" s="1"/>
      <c r="Q1" s="1"/>
    </row>
    <row r="2" spans="1:17" x14ac:dyDescent="0.3">
      <c r="A2" s="2" t="s">
        <v>0</v>
      </c>
      <c r="B2" s="2"/>
      <c r="C2" s="2"/>
      <c r="D2" s="2"/>
      <c r="E2" s="2"/>
      <c r="G2" s="2" t="s">
        <v>0</v>
      </c>
      <c r="H2" s="2"/>
      <c r="I2" s="2"/>
      <c r="J2" s="2"/>
      <c r="K2" s="2"/>
      <c r="M2" s="2" t="s">
        <v>0</v>
      </c>
      <c r="N2" s="2"/>
      <c r="O2" s="2"/>
      <c r="P2" s="2"/>
      <c r="Q2" s="2"/>
    </row>
    <row r="3" spans="1:17" x14ac:dyDescent="0.3">
      <c r="B3" s="3" t="s">
        <v>1</v>
      </c>
      <c r="C3" s="3" t="s">
        <v>2</v>
      </c>
      <c r="D3" s="3" t="s">
        <v>3</v>
      </c>
      <c r="E3" s="3" t="s">
        <v>4</v>
      </c>
      <c r="H3" s="3" t="s">
        <v>1</v>
      </c>
      <c r="I3" s="3" t="s">
        <v>2</v>
      </c>
      <c r="J3" s="3" t="s">
        <v>3</v>
      </c>
      <c r="K3" s="3" t="s">
        <v>4</v>
      </c>
      <c r="N3" s="3" t="s">
        <v>1</v>
      </c>
      <c r="O3" s="3" t="s">
        <v>2</v>
      </c>
      <c r="P3" s="3" t="s">
        <v>3</v>
      </c>
      <c r="Q3" s="3" t="s">
        <v>4</v>
      </c>
    </row>
    <row r="4" spans="1:17" x14ac:dyDescent="0.3">
      <c r="A4" s="3" t="s">
        <v>5</v>
      </c>
      <c r="B4">
        <v>0.75</v>
      </c>
      <c r="C4">
        <v>0.76819999999999999</v>
      </c>
      <c r="D4">
        <v>0.74603169999999996</v>
      </c>
      <c r="E4">
        <v>0.75757580000000002</v>
      </c>
      <c r="G4" s="3" t="s">
        <v>5</v>
      </c>
      <c r="H4">
        <v>0.8</v>
      </c>
      <c r="I4">
        <v>0.87139999999999995</v>
      </c>
      <c r="J4">
        <v>0.76666670000000003</v>
      </c>
      <c r="K4">
        <v>0.85714290000000004</v>
      </c>
      <c r="M4" s="3" t="s">
        <v>5</v>
      </c>
      <c r="N4">
        <v>0.91578950000000003</v>
      </c>
      <c r="O4">
        <v>0.95009999999999994</v>
      </c>
      <c r="P4">
        <v>0.9473684</v>
      </c>
      <c r="Q4">
        <v>0.86842109999999995</v>
      </c>
    </row>
    <row r="5" spans="1:17" x14ac:dyDescent="0.3">
      <c r="A5" s="3" t="s">
        <v>6</v>
      </c>
      <c r="B5">
        <v>0.73684210000000006</v>
      </c>
      <c r="C5">
        <v>0.76100000000000001</v>
      </c>
      <c r="D5">
        <v>0.71698110000000004</v>
      </c>
      <c r="E5">
        <v>0.76190480000000005</v>
      </c>
      <c r="G5" s="3" t="s">
        <v>6</v>
      </c>
      <c r="H5">
        <v>0.8</v>
      </c>
      <c r="I5">
        <v>0.82779999999999998</v>
      </c>
      <c r="J5">
        <v>0.84210529999999995</v>
      </c>
      <c r="K5">
        <v>0.73684210000000006</v>
      </c>
      <c r="M5" s="3" t="s">
        <v>6</v>
      </c>
      <c r="N5">
        <v>0.88541669999999995</v>
      </c>
      <c r="O5">
        <v>0.93440000000000001</v>
      </c>
      <c r="P5">
        <v>0.87272729999999998</v>
      </c>
      <c r="Q5">
        <v>0.90243899999999999</v>
      </c>
    </row>
    <row r="6" spans="1:17" x14ac:dyDescent="0.3">
      <c r="A6" s="3" t="s">
        <v>7</v>
      </c>
      <c r="B6">
        <v>0.71578949999999997</v>
      </c>
      <c r="C6">
        <v>0.73529999999999995</v>
      </c>
      <c r="D6">
        <v>0.67857140000000005</v>
      </c>
      <c r="E6">
        <v>0.76923079999999999</v>
      </c>
      <c r="G6" s="3" t="s">
        <v>7</v>
      </c>
      <c r="H6">
        <v>0.77083330000000005</v>
      </c>
      <c r="I6">
        <v>0.86429999999999996</v>
      </c>
      <c r="J6">
        <v>0.6545455</v>
      </c>
      <c r="K6">
        <v>0.92682929999999997</v>
      </c>
      <c r="M6" s="3" t="s">
        <v>7</v>
      </c>
      <c r="N6">
        <v>0.88421050000000001</v>
      </c>
      <c r="O6">
        <v>0.93289999999999995</v>
      </c>
      <c r="P6">
        <v>0.9</v>
      </c>
      <c r="Q6">
        <v>0.85714290000000004</v>
      </c>
    </row>
    <row r="7" spans="1:17" x14ac:dyDescent="0.3">
      <c r="A7" s="4" t="s">
        <v>8</v>
      </c>
      <c r="B7" s="5">
        <f>AVERAGE(B4:B6)</f>
        <v>0.73421053333333341</v>
      </c>
      <c r="C7" s="5">
        <f>AVERAGE(C4:C6)</f>
        <v>0.75483333333333336</v>
      </c>
      <c r="D7" s="5">
        <f>AVERAGE(D4:D6)</f>
        <v>0.71386139999999998</v>
      </c>
      <c r="E7" s="5">
        <f>AVERAGE(E4:E6)</f>
        <v>0.76290380000000002</v>
      </c>
      <c r="G7" s="4" t="s">
        <v>8</v>
      </c>
      <c r="H7" s="5">
        <f>AVERAGE(H4:H6)</f>
        <v>0.79027776666666671</v>
      </c>
      <c r="I7" s="5">
        <f>AVERAGE(I4:I6)</f>
        <v>0.85449999999999993</v>
      </c>
      <c r="J7" s="5">
        <f>AVERAGE(J4:J6)</f>
        <v>0.75443916666666677</v>
      </c>
      <c r="K7" s="5">
        <f>AVERAGE(K4:K6)</f>
        <v>0.84027143333333332</v>
      </c>
      <c r="M7" s="4" t="s">
        <v>8</v>
      </c>
      <c r="N7" s="5">
        <f>AVERAGE(N4:N6)</f>
        <v>0.89513890000000007</v>
      </c>
      <c r="O7" s="5">
        <f t="shared" ref="O7:Q7" si="0">AVERAGE(O4:O6)</f>
        <v>0.93913333333333338</v>
      </c>
      <c r="P7" s="5">
        <f t="shared" si="0"/>
        <v>0.90669856666666659</v>
      </c>
      <c r="Q7" s="5">
        <f t="shared" si="0"/>
        <v>0.87600100000000003</v>
      </c>
    </row>
    <row r="9" spans="1:17" x14ac:dyDescent="0.3">
      <c r="A9" s="6" t="s">
        <v>9</v>
      </c>
      <c r="B9" s="6"/>
      <c r="C9" s="6"/>
      <c r="D9" s="6"/>
      <c r="E9" s="6"/>
      <c r="G9" s="6" t="s">
        <v>9</v>
      </c>
      <c r="H9" s="6"/>
      <c r="I9" s="6"/>
      <c r="J9" s="6"/>
      <c r="K9" s="6"/>
      <c r="M9" s="6" t="s">
        <v>9</v>
      </c>
      <c r="N9" s="6"/>
      <c r="O9" s="6"/>
      <c r="P9" s="6"/>
      <c r="Q9" s="6"/>
    </row>
    <row r="10" spans="1:17" x14ac:dyDescent="0.3">
      <c r="B10" s="3" t="s">
        <v>1</v>
      </c>
      <c r="C10" s="3" t="s">
        <v>2</v>
      </c>
      <c r="D10" s="3" t="s">
        <v>3</v>
      </c>
      <c r="E10" s="3" t="s">
        <v>4</v>
      </c>
      <c r="H10" s="3" t="s">
        <v>1</v>
      </c>
      <c r="I10" s="3" t="s">
        <v>2</v>
      </c>
      <c r="J10" s="3" t="s">
        <v>3</v>
      </c>
      <c r="K10" s="3" t="s">
        <v>4</v>
      </c>
      <c r="N10" s="3" t="s">
        <v>1</v>
      </c>
      <c r="O10" s="3" t="s">
        <v>2</v>
      </c>
      <c r="P10" s="3" t="s">
        <v>3</v>
      </c>
      <c r="Q10" s="3" t="s">
        <v>4</v>
      </c>
    </row>
    <row r="11" spans="1:17" x14ac:dyDescent="0.3">
      <c r="A11" s="3" t="s">
        <v>5</v>
      </c>
      <c r="B11">
        <v>0.63829789999999997</v>
      </c>
      <c r="C11">
        <v>0.55979999999999996</v>
      </c>
      <c r="D11">
        <v>0.3043478</v>
      </c>
      <c r="E11">
        <v>0.95833330000000005</v>
      </c>
      <c r="G11" s="3" t="s">
        <v>5</v>
      </c>
      <c r="H11">
        <v>0.75</v>
      </c>
      <c r="I11">
        <v>0.74829999999999997</v>
      </c>
      <c r="J11">
        <v>0.84615379999999996</v>
      </c>
      <c r="K11">
        <v>0.63636360000000003</v>
      </c>
      <c r="M11" s="3" t="s">
        <v>5</v>
      </c>
      <c r="N11">
        <v>0.83333330000000005</v>
      </c>
      <c r="O11">
        <v>0.8548</v>
      </c>
      <c r="P11">
        <v>0.89655169999999995</v>
      </c>
      <c r="Q11">
        <v>0.73684210000000006</v>
      </c>
    </row>
    <row r="12" spans="1:17" x14ac:dyDescent="0.3">
      <c r="A12" s="3" t="s">
        <v>6</v>
      </c>
      <c r="B12">
        <v>0.625</v>
      </c>
      <c r="C12">
        <v>0.71519999999999995</v>
      </c>
      <c r="D12">
        <v>0.48484850000000002</v>
      </c>
      <c r="E12">
        <v>0.93333330000000003</v>
      </c>
      <c r="G12" s="3" t="s">
        <v>6</v>
      </c>
      <c r="H12">
        <v>0.83333330000000005</v>
      </c>
      <c r="I12">
        <v>0.89839999999999998</v>
      </c>
      <c r="J12">
        <v>0.7241379</v>
      </c>
      <c r="K12">
        <v>1</v>
      </c>
      <c r="M12" s="3" t="s">
        <v>6</v>
      </c>
      <c r="N12">
        <v>0.89361699999999999</v>
      </c>
      <c r="O12">
        <v>0.9274</v>
      </c>
      <c r="P12">
        <v>0.90322579999999997</v>
      </c>
      <c r="Q12">
        <v>0.875</v>
      </c>
    </row>
    <row r="13" spans="1:17" x14ac:dyDescent="0.3">
      <c r="A13" s="3" t="s">
        <v>7</v>
      </c>
      <c r="B13">
        <v>0.77083330000000005</v>
      </c>
      <c r="C13">
        <v>0.72409999999999997</v>
      </c>
      <c r="D13">
        <v>0.73333329999999997</v>
      </c>
      <c r="E13">
        <v>0.83333330000000005</v>
      </c>
      <c r="G13" s="3" t="s">
        <v>7</v>
      </c>
      <c r="H13">
        <v>0.78723399999999999</v>
      </c>
      <c r="I13">
        <v>0.8448</v>
      </c>
      <c r="J13">
        <v>0.74193549999999997</v>
      </c>
      <c r="K13">
        <v>0.875</v>
      </c>
      <c r="M13" s="3" t="s">
        <v>7</v>
      </c>
      <c r="N13">
        <v>0.875</v>
      </c>
      <c r="O13">
        <v>0.92659999999999998</v>
      </c>
      <c r="P13">
        <v>0.84615379999999996</v>
      </c>
      <c r="Q13">
        <v>0.90909090000000004</v>
      </c>
    </row>
    <row r="14" spans="1:17" x14ac:dyDescent="0.3">
      <c r="A14" s="7" t="s">
        <v>8</v>
      </c>
      <c r="B14" s="8">
        <f>AVERAGE(B11:B13)</f>
        <v>0.67804373333333334</v>
      </c>
      <c r="C14" s="8">
        <f>AVERAGE(C11:C13)</f>
        <v>0.66636666666666666</v>
      </c>
      <c r="D14" s="8">
        <f>AVERAGE(D11:D13)</f>
        <v>0.50750986666666664</v>
      </c>
      <c r="E14" s="8">
        <f>AVERAGE(E11:E13)</f>
        <v>0.90833330000000012</v>
      </c>
      <c r="G14" s="7" t="s">
        <v>8</v>
      </c>
      <c r="H14" s="8">
        <f>AVERAGE(H11:H13)</f>
        <v>0.79018910000000009</v>
      </c>
      <c r="I14" s="8">
        <f t="shared" ref="I14:K14" si="1">AVERAGE(I11:I13)</f>
        <v>0.83050000000000013</v>
      </c>
      <c r="J14" s="8">
        <f t="shared" si="1"/>
        <v>0.77074239999999994</v>
      </c>
      <c r="K14" s="8">
        <f t="shared" si="1"/>
        <v>0.83712120000000001</v>
      </c>
      <c r="M14" s="7" t="s">
        <v>8</v>
      </c>
      <c r="N14" s="8">
        <f>AVERAGE(N11:N13)</f>
        <v>0.86731676666666668</v>
      </c>
      <c r="O14" s="8">
        <f>AVERAGE(O11:O13)</f>
        <v>0.90293333333333337</v>
      </c>
      <c r="P14" s="8">
        <f>AVERAGE(P11:P13)</f>
        <v>0.88197709999999996</v>
      </c>
      <c r="Q14" s="8">
        <f>AVERAGE(Q11:Q13)</f>
        <v>0.84031100000000014</v>
      </c>
    </row>
    <row r="22" spans="8:8" x14ac:dyDescent="0.3">
      <c r="H22" s="9"/>
    </row>
  </sheetData>
  <mergeCells count="9">
    <mergeCell ref="M1:Q1"/>
    <mergeCell ref="M2:Q2"/>
    <mergeCell ref="M9:Q9"/>
    <mergeCell ref="A1:E1"/>
    <mergeCell ref="A2:E2"/>
    <mergeCell ref="A9:E9"/>
    <mergeCell ref="G1:K1"/>
    <mergeCell ref="G2:K2"/>
    <mergeCell ref="G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Alvarado</dc:creator>
  <cp:lastModifiedBy>Cristian Alvarado</cp:lastModifiedBy>
  <dcterms:created xsi:type="dcterms:W3CDTF">2025-10-30T00:48:36Z</dcterms:created>
  <dcterms:modified xsi:type="dcterms:W3CDTF">2025-10-30T04:59:38Z</dcterms:modified>
</cp:coreProperties>
</file>